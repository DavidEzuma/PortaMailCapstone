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ebas\Desktop\Capstone\Part order Rev 3\"/>
    </mc:Choice>
  </mc:AlternateContent>
  <xr:revisionPtr revIDLastSave="0" documentId="13_ncr:1_{0C24C0F8-960A-4A8B-BC8B-D6911E0FFD81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3" i="1"/>
  <c r="G12" i="1"/>
  <c r="G11" i="1" l="1"/>
  <c r="G10" i="1"/>
  <c r="G3" i="1"/>
  <c r="G14" i="1" l="1"/>
</calcChain>
</file>

<file path=xl/sharedStrings.xml><?xml version="1.0" encoding="utf-8"?>
<sst xmlns="http://schemas.openxmlformats.org/spreadsheetml/2006/main" count="32" uniqueCount="32">
  <si>
    <t>Date</t>
  </si>
  <si>
    <t>Vendor</t>
  </si>
  <si>
    <t>Description</t>
  </si>
  <si>
    <t>Unit Cost</t>
  </si>
  <si>
    <t>Extended Cost</t>
  </si>
  <si>
    <t>Digi-Key</t>
  </si>
  <si>
    <t>Totals</t>
  </si>
  <si>
    <t>Qty</t>
  </si>
  <si>
    <t>Item Number</t>
  </si>
  <si>
    <t>PO Extended</t>
  </si>
  <si>
    <t>A124423-ND</t>
  </si>
  <si>
    <t>A113320-ND</t>
  </si>
  <si>
    <t xml:space="preserve">1738-1106-ND </t>
  </si>
  <si>
    <t>1738-DFR1202-ND</t>
  </si>
  <si>
    <t>EG4777-ND</t>
  </si>
  <si>
    <t>TERM BLK 4P SIDE ENT 5.08MM PCB</t>
  </si>
  <si>
    <t>TERM BLK 2P SIDE ENT 5.08MM PCB</t>
  </si>
  <si>
    <t>SWITCH ROCKER SPST 20A 125V</t>
  </si>
  <si>
    <t>DC-DC STEP DOWN BUCK CONVERTER (</t>
  </si>
  <si>
    <t>GEARMOTOR 251 RPM 12V W/ENCODER</t>
  </si>
  <si>
    <t>2648-SC1227-ND</t>
  </si>
  <si>
    <t xml:space="preserve">1528-1426-ND  </t>
  </si>
  <si>
    <t xml:space="preserve">2648-SC1223-ND </t>
  </si>
  <si>
    <t>497-13073-1-ND</t>
  </si>
  <si>
    <t>GRAPHIC DISPLAY TFT RGB 7"</t>
  </si>
  <si>
    <t>1568-16997-ND</t>
  </si>
  <si>
    <t>TEENSY 4.0 (HEADERS)</t>
  </si>
  <si>
    <t>BREAKOUT BOARD 9-DOF IMU BNO055</t>
  </si>
  <si>
    <t>RASPBERRY PI CAMERA 3</t>
  </si>
  <si>
    <t>IC MTR DRV 5.5-24V MULTIPWRSO-30</t>
  </si>
  <si>
    <t>64GB MICROSDXC CANVAS SELECT PLU</t>
  </si>
  <si>
    <t>6318-SDCS3/64GB-ND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</si>
</sst>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0_);_(&quot;$&quot;* \(#,##0.000\);_(&quot;$&quot;* &quot;-&quot;???_);_(@_)"/>
  </numFmts>
  <fonts count="5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16" sqref="E16"/>
    </sheetView>
  </sheetViews>
  <sheetFormatPr defaultColWidth="8.81640625" defaultRowHeight="14" x14ac:dyDescent="0.35"/>
  <cols>
    <col min="1" max="1" width="10.7265625" style="2" customWidth="1"/>
    <col min="2" max="2" width="9.7265625" style="2" customWidth="1"/>
    <col min="3" max="3" width="22.81640625" style="2" customWidth="1"/>
    <col min="4" max="4" width="32.1796875" style="13" customWidth="1"/>
    <col min="5" max="5" width="7.26953125" style="3" customWidth="1"/>
    <col min="6" max="6" width="10.54296875" style="4" customWidth="1"/>
    <col min="7" max="7" width="13" style="4" customWidth="1"/>
    <col min="8" max="16384" width="8.81640625" style="5"/>
  </cols>
  <sheetData>
    <row r="1" spans="1:7" x14ac:dyDescent="0.35">
      <c r="A1" s="9" t="s">
        <v>9</v>
      </c>
      <c r="B1" s="9"/>
      <c r="C1" s="9"/>
      <c r="D1" s="12"/>
      <c r="E1" s="14"/>
      <c r="F1" s="14"/>
      <c r="G1" s="14"/>
    </row>
    <row r="2" spans="1:7" s="8" customFormat="1" ht="30.65" customHeight="1" x14ac:dyDescent="0.35">
      <c r="A2" s="10" t="s">
        <v>0</v>
      </c>
      <c r="B2" s="10" t="s">
        <v>1</v>
      </c>
      <c r="C2" s="10" t="s">
        <v>8</v>
      </c>
      <c r="D2" s="10" t="s">
        <v>2</v>
      </c>
      <c r="E2" s="10" t="s">
        <v>7</v>
      </c>
      <c r="F2" s="11" t="s">
        <v>3</v>
      </c>
      <c r="G2" s="10" t="s">
        <v>4</v>
      </c>
    </row>
    <row r="3" spans="1:7" ht="28" x14ac:dyDescent="0.35">
      <c r="A3" s="1">
        <v>46064</v>
      </c>
      <c r="B3" s="2" t="s">
        <v>5</v>
      </c>
      <c r="C3" s="2" t="s">
        <v>10</v>
      </c>
      <c r="D3" s="13" t="s">
        <v>15</v>
      </c>
      <c r="E3" s="3">
        <v>5</v>
      </c>
      <c r="F3" s="4">
        <v>1.63</v>
      </c>
      <c r="G3" s="4">
        <f t="shared" ref="G3:G13" si="0">PRODUCT(E3:F3)</f>
        <v>8.1499999999999986</v>
      </c>
    </row>
    <row r="4" spans="1:7" x14ac:dyDescent="0.35">
      <c r="A4" s="1"/>
      <c r="C4" s="2" t="s">
        <v>20</v>
      </c>
      <c r="D4" s="13" t="s">
        <v>24</v>
      </c>
      <c r="E4" s="3">
        <v>1</v>
      </c>
      <c r="F4" s="4">
        <v>60</v>
      </c>
      <c r="G4" s="4">
        <f t="shared" si="0"/>
        <v>60</v>
      </c>
    </row>
    <row r="5" spans="1:7" x14ac:dyDescent="0.35">
      <c r="A5" s="1"/>
      <c r="C5" s="2" t="s">
        <v>25</v>
      </c>
      <c r="D5" s="13" t="s">
        <v>26</v>
      </c>
      <c r="E5" s="3">
        <v>1</v>
      </c>
      <c r="F5" s="4">
        <v>26.8</v>
      </c>
      <c r="G5" s="4">
        <f t="shared" si="0"/>
        <v>26.8</v>
      </c>
    </row>
    <row r="6" spans="1:7" ht="28" x14ac:dyDescent="0.35">
      <c r="A6" s="1"/>
      <c r="C6" s="2" t="s">
        <v>21</v>
      </c>
      <c r="D6" s="13" t="s">
        <v>27</v>
      </c>
      <c r="E6" s="3">
        <v>1</v>
      </c>
      <c r="F6" s="4">
        <v>34.950000000000003</v>
      </c>
      <c r="G6" s="4">
        <f t="shared" si="0"/>
        <v>34.950000000000003</v>
      </c>
    </row>
    <row r="7" spans="1:7" ht="28" x14ac:dyDescent="0.35">
      <c r="A7" s="1"/>
      <c r="C7" s="2" t="s">
        <v>31</v>
      </c>
      <c r="D7" s="13" t="s">
        <v>30</v>
      </c>
      <c r="E7" s="3">
        <v>1</v>
      </c>
      <c r="F7" s="4">
        <v>18.8</v>
      </c>
      <c r="G7" s="4">
        <f t="shared" si="0"/>
        <v>18.8</v>
      </c>
    </row>
    <row r="8" spans="1:7" x14ac:dyDescent="0.35">
      <c r="A8" s="1"/>
      <c r="C8" s="2" t="s">
        <v>22</v>
      </c>
      <c r="D8" s="13" t="s">
        <v>28</v>
      </c>
      <c r="E8" s="3">
        <v>1</v>
      </c>
      <c r="F8" s="4">
        <v>25</v>
      </c>
      <c r="G8" s="4">
        <f t="shared" si="0"/>
        <v>25</v>
      </c>
    </row>
    <row r="9" spans="1:7" ht="28" x14ac:dyDescent="0.35">
      <c r="A9" s="1"/>
      <c r="C9" s="2" t="s">
        <v>23</v>
      </c>
      <c r="D9" s="13" t="s">
        <v>29</v>
      </c>
      <c r="E9" s="3">
        <v>2</v>
      </c>
      <c r="F9" s="4">
        <v>8.31</v>
      </c>
      <c r="G9" s="4">
        <f t="shared" si="0"/>
        <v>16.62</v>
      </c>
    </row>
    <row r="10" spans="1:7" ht="28" x14ac:dyDescent="0.35">
      <c r="C10" s="2" t="s">
        <v>11</v>
      </c>
      <c r="D10" s="13" t="s">
        <v>16</v>
      </c>
      <c r="E10" s="3">
        <v>7</v>
      </c>
      <c r="F10" s="4">
        <v>0.8</v>
      </c>
      <c r="G10" s="4">
        <f t="shared" si="0"/>
        <v>5.6000000000000005</v>
      </c>
    </row>
    <row r="11" spans="1:7" x14ac:dyDescent="0.35">
      <c r="C11" s="2" t="s">
        <v>14</v>
      </c>
      <c r="D11" s="13" t="s">
        <v>17</v>
      </c>
      <c r="E11" s="3">
        <v>2</v>
      </c>
      <c r="F11" s="4">
        <v>1.08</v>
      </c>
      <c r="G11" s="4">
        <f t="shared" si="0"/>
        <v>2.16</v>
      </c>
    </row>
    <row r="12" spans="1:7" ht="28" x14ac:dyDescent="0.35">
      <c r="C12" s="2" t="s">
        <v>13</v>
      </c>
      <c r="D12" s="13" t="s">
        <v>18</v>
      </c>
      <c r="E12" s="3">
        <v>1</v>
      </c>
      <c r="F12" s="4">
        <v>12.9</v>
      </c>
      <c r="G12" s="4">
        <f t="shared" si="0"/>
        <v>12.9</v>
      </c>
    </row>
    <row r="13" spans="1:7" ht="28" x14ac:dyDescent="0.35">
      <c r="C13" s="2" t="s">
        <v>12</v>
      </c>
      <c r="D13" s="13" t="s">
        <v>19</v>
      </c>
      <c r="E13" s="3">
        <v>2</v>
      </c>
      <c r="F13" s="4">
        <v>16.5</v>
      </c>
      <c r="G13" s="4">
        <f t="shared" si="0"/>
        <v>33</v>
      </c>
    </row>
    <row r="14" spans="1:7" x14ac:dyDescent="0.35">
      <c r="D14" s="12" t="s">
        <v>6</v>
      </c>
      <c r="E14" s="6"/>
      <c r="F14" s="7"/>
      <c r="G14" s="7">
        <f>SUM(G3:G13)</f>
        <v>243.98000000000002</v>
      </c>
    </row>
  </sheetData>
  <mergeCells count="1">
    <mergeCell ref="E1:G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Salas, Bailey N</dc:creator>
  <cp:lastModifiedBy>Mejias, Sebastian</cp:lastModifiedBy>
  <cp:lastPrinted>2017-09-08T15:51:04Z</cp:lastPrinted>
  <dcterms:created xsi:type="dcterms:W3CDTF">2016-09-14T16:33:05Z</dcterms:created>
  <dcterms:modified xsi:type="dcterms:W3CDTF">2026-02-12T15:57:27Z</dcterms:modified>
</cp:coreProperties>
</file>